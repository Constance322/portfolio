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17D49F7-D161-489A-B798-C6036528391E}" xr6:coauthVersionLast="47" xr6:coauthVersionMax="47" xr10:uidLastSave="{00000000-0000-0000-0000-000000000000}"/>
  <bookViews>
    <workbookView xWindow="-108" yWindow="-108" windowWidth="23256" windowHeight="12456" xr2:uid="{C89068B3-8DDB-4DD9-82C2-5E6F2BC183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22" i="1"/>
  <c r="D24" i="1"/>
  <c r="D23" i="1"/>
  <c r="D22" i="1"/>
  <c r="C24" i="1"/>
  <c r="C23" i="1"/>
  <c r="C22" i="1"/>
  <c r="D18" i="1"/>
  <c r="C18" i="1"/>
  <c r="B18" i="1"/>
  <c r="D17" i="1"/>
  <c r="C17" i="1"/>
  <c r="B17" i="1"/>
  <c r="D16" i="1"/>
  <c r="C16" i="1"/>
  <c r="B16" i="1"/>
</calcChain>
</file>

<file path=xl/sharedStrings.xml><?xml version="1.0" encoding="utf-8"?>
<sst xmlns="http://schemas.openxmlformats.org/spreadsheetml/2006/main" count="27" uniqueCount="22">
  <si>
    <t>Forecast Region</t>
  </si>
  <si>
    <t>Turkana</t>
  </si>
  <si>
    <t>Forecast Scenario</t>
  </si>
  <si>
    <t>2024 Drought-Severe</t>
  </si>
  <si>
    <t>Affected Population (Low Estimate)</t>
  </si>
  <si>
    <t>Affected Population (Mid Estimate)</t>
  </si>
  <si>
    <t>Affected Population (High Estimate)</t>
  </si>
  <si>
    <t>Core Assumptions (Historical Rates)</t>
  </si>
  <si>
    <t>Item</t>
  </si>
  <si>
    <t>Historical Rate (Items per Affected Person)</t>
  </si>
  <si>
    <t>Blankets</t>
  </si>
  <si>
    <t>Jerrycans</t>
  </si>
  <si>
    <t>Hygiene Kits</t>
  </si>
  <si>
    <t>III. Inventory Forecast (Demand)</t>
  </si>
  <si>
    <t>Low Estimate</t>
  </si>
  <si>
    <t>Mid Estimate</t>
  </si>
  <si>
    <t>High Estimate</t>
  </si>
  <si>
    <t>IV. Inventory Status and Action</t>
  </si>
  <si>
    <t>Current Stock (Editable)</t>
  </si>
  <si>
    <t>Forecasted Demand (Mid Estimate)</t>
  </si>
  <si>
    <t>Stock Shortfall (Difference)</t>
  </si>
  <si>
    <t>Procurement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</si>
</sst>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403A-C47F-401D-9EFA-4976CA4A5626}">
  <dimension ref="A1:E24"/>
  <sheetViews>
    <sheetView tabSelected="1" topLeftCell="A4" workbookViewId="0">
      <selection activeCell="E25" sqref="E25"/>
    </sheetView>
  </sheetViews>
  <sheetFormatPr defaultRowHeight="15.6" x14ac:dyDescent="0.3"/>
  <cols>
    <col min="1" max="1" width="31.109375" style="1" customWidth="1"/>
    <col min="2" max="2" width="38.33203125" style="1" customWidth="1"/>
    <col min="3" max="3" width="31.88671875" style="1" customWidth="1"/>
    <col min="4" max="4" width="26.88671875" style="1" customWidth="1"/>
    <col min="5" max="5" width="22.6640625" style="1" customWidth="1"/>
    <col min="6" max="16384" width="8.88671875" style="1"/>
  </cols>
  <sheetData>
    <row r="1" spans="1:4" x14ac:dyDescent="0.3">
      <c r="A1" s="2" t="s">
        <v>0</v>
      </c>
      <c r="B1" s="2" t="s">
        <v>1</v>
      </c>
    </row>
    <row r="2" spans="1:4" x14ac:dyDescent="0.3">
      <c r="A2" s="1" t="s">
        <v>2</v>
      </c>
      <c r="B2" s="1" t="s">
        <v>3</v>
      </c>
    </row>
    <row r="3" spans="1:4" x14ac:dyDescent="0.3">
      <c r="A3" s="1" t="s">
        <v>4</v>
      </c>
      <c r="B3" s="3">
        <v>40000</v>
      </c>
    </row>
    <row r="4" spans="1:4" x14ac:dyDescent="0.3">
      <c r="A4" s="1" t="s">
        <v>5</v>
      </c>
      <c r="B4" s="1">
        <v>75000</v>
      </c>
    </row>
    <row r="5" spans="1:4" x14ac:dyDescent="0.3">
      <c r="A5" s="1" t="s">
        <v>6</v>
      </c>
      <c r="B5" s="3">
        <v>120000</v>
      </c>
    </row>
    <row r="8" spans="1:4" x14ac:dyDescent="0.3">
      <c r="A8" t="s">
        <v>7</v>
      </c>
    </row>
    <row r="9" spans="1:4" x14ac:dyDescent="0.3">
      <c r="A9" t="s">
        <v>8</v>
      </c>
      <c r="B9" t="s">
        <v>9</v>
      </c>
    </row>
    <row r="10" spans="1:4" x14ac:dyDescent="0.3">
      <c r="A10" t="s">
        <v>10</v>
      </c>
      <c r="B10">
        <v>0.42499999999999999</v>
      </c>
    </row>
    <row r="11" spans="1:4" x14ac:dyDescent="0.3">
      <c r="A11" t="s">
        <v>11</v>
      </c>
      <c r="B11">
        <v>0.25</v>
      </c>
    </row>
    <row r="12" spans="1:4" x14ac:dyDescent="0.3">
      <c r="A12" t="s">
        <v>12</v>
      </c>
      <c r="B12">
        <v>0.15</v>
      </c>
    </row>
    <row r="14" spans="1:4" ht="16.2" thickBot="1" x14ac:dyDescent="0.35">
      <c r="A14" t="s">
        <v>13</v>
      </c>
    </row>
    <row r="15" spans="1:4" ht="16.2" thickBot="1" x14ac:dyDescent="0.35">
      <c r="A15" t="s">
        <v>8</v>
      </c>
      <c r="B15" t="s">
        <v>14</v>
      </c>
      <c r="C15" t="s">
        <v>15</v>
      </c>
      <c r="D15" s="4" t="s">
        <v>16</v>
      </c>
    </row>
    <row r="16" spans="1:4" x14ac:dyDescent="0.3">
      <c r="B16" s="1">
        <f>ROUND(B3*B10,0)</f>
        <v>17000</v>
      </c>
      <c r="C16" s="1">
        <f>ROUND(B4*B10,0)</f>
        <v>31875</v>
      </c>
      <c r="D16" s="1">
        <f>ROUND(B5*B10,0)</f>
        <v>51000</v>
      </c>
    </row>
    <row r="17" spans="1:5" x14ac:dyDescent="0.3">
      <c r="B17" s="1">
        <f>ROUND(B3*B11,0)</f>
        <v>10000</v>
      </c>
      <c r="C17" s="1">
        <f>ROUND(B4*B11,0)</f>
        <v>18750</v>
      </c>
      <c r="D17" s="1">
        <f>ROUND(B5*B11,0)</f>
        <v>30000</v>
      </c>
    </row>
    <row r="18" spans="1:5" x14ac:dyDescent="0.3">
      <c r="B18" s="1">
        <f>ROUND(B3*B12,0)</f>
        <v>6000</v>
      </c>
      <c r="C18" s="1">
        <f>ROUND(B4*B12,0)</f>
        <v>11250</v>
      </c>
      <c r="D18" s="1">
        <f>ROUND(B5*B12,0)</f>
        <v>18000</v>
      </c>
    </row>
    <row r="20" spans="1:5" x14ac:dyDescent="0.3">
      <c r="A20" t="s">
        <v>17</v>
      </c>
    </row>
    <row r="21" spans="1:5" x14ac:dyDescent="0.3">
      <c r="A21" t="s">
        <v>8</v>
      </c>
      <c r="B21" t="s">
        <v>18</v>
      </c>
      <c r="C21" t="s">
        <v>19</v>
      </c>
      <c r="D21" t="s">
        <v>20</v>
      </c>
      <c r="E21" t="s">
        <v>21</v>
      </c>
    </row>
    <row r="22" spans="1:5" x14ac:dyDescent="0.3">
      <c r="A22" t="s">
        <v>10</v>
      </c>
      <c r="B22">
        <v>30000</v>
      </c>
      <c r="C22" s="1">
        <f>C16</f>
        <v>31875</v>
      </c>
      <c r="D22" s="1">
        <f>C22 - B22</f>
        <v>1875</v>
      </c>
      <c r="E22" s="1" t="str">
        <f>IF(D22 &gt; 10000, "HIGH", IF(D22 &gt; 0, "MEDIUM", "LOW"))</f>
        <v>MEDIUM</v>
      </c>
    </row>
    <row r="23" spans="1:5" x14ac:dyDescent="0.3">
      <c r="A23" t="s">
        <v>11</v>
      </c>
      <c r="B23">
        <v>15000</v>
      </c>
      <c r="C23" s="1">
        <f>C17</f>
        <v>18750</v>
      </c>
      <c r="D23" s="1">
        <f>C23 - B23</f>
        <v>3750</v>
      </c>
      <c r="E23" s="1" t="str">
        <f>IF(D23 &gt; 5000, "HIGH", IF(D23 &gt; 0, "MEDIUM", "LOW"))</f>
        <v>MEDIUM</v>
      </c>
    </row>
    <row r="24" spans="1:5" x14ac:dyDescent="0.3">
      <c r="A24" t="s">
        <v>12</v>
      </c>
      <c r="B24">
        <v>5000</v>
      </c>
      <c r="C24" s="1">
        <f>C18</f>
        <v>11250</v>
      </c>
      <c r="D24" s="1">
        <f>C24 - B24</f>
        <v>6250</v>
      </c>
      <c r="E24" s="1" t="str">
        <f>IF(D24 &gt; 2000, "HIGH", IF(D24 &gt; 0, "MEDIUM", "LOW"))</f>
        <v>HIGH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Matilda Keli</dc:creator>
  <cp:lastModifiedBy>Matilda Keli</cp:lastModifiedBy>
  <dcterms:created xsi:type="dcterms:W3CDTF">2025-11-09T09:38:37Z</dcterms:created>
  <dcterms:modified xsi:type="dcterms:W3CDTF">2025-11-09T10:14:40Z</dcterms:modified>
</cp:coreProperties>
</file>